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ciakraay/PycharmProjects/rotasim/calibration/"/>
    </mc:Choice>
  </mc:AlternateContent>
  <xr:revisionPtr revIDLastSave="0" documentId="13_ncr:1_{0D9B6946-2B71-AB4E-BF95-14D89B959F96}" xr6:coauthVersionLast="47" xr6:coauthVersionMax="47" xr10:uidLastSave="{00000000-0000-0000-0000-000000000000}"/>
  <bookViews>
    <workbookView xWindow="3720" yWindow="3940" windowWidth="26040" windowHeight="14940" firstSheet="3" activeTab="8" xr2:uid="{C5260B54-9666-D54D-BEE2-B441C4FA991D}"/>
  </bookViews>
  <sheets>
    <sheet name="Dhaka_ageincidence" sheetId="1" r:id="rId1"/>
    <sheet name="Dhaka_yr_geno" sheetId="2" r:id="rId2"/>
    <sheet name="Dhaka_geno_mean" sheetId="6" r:id="rId3"/>
    <sheet name="Matlab_ageincidence" sheetId="3" r:id="rId4"/>
    <sheet name="Matlab_yr_geno" sheetId="4" r:id="rId5"/>
    <sheet name="Matlab_geno_mean" sheetId="5" r:id="rId6"/>
    <sheet name="Matlab_incidence" sheetId="7" r:id="rId7"/>
    <sheet name="Matlab_agedistribution" sheetId="8" r:id="rId8"/>
    <sheet name="UK_incidence" sheetId="9" r:id="rId9"/>
    <sheet name="UK_agedistribution" sheetId="10" r:id="rId10"/>
    <sheet name="UK_geno_mean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1" l="1"/>
  <c r="B4" i="11"/>
  <c r="B3" i="11"/>
  <c r="B2" i="11"/>
  <c r="D5" i="10"/>
  <c r="D4" i="10"/>
  <c r="D3" i="10"/>
  <c r="D2" i="10"/>
  <c r="E2" i="9"/>
  <c r="D5" i="8"/>
  <c r="D4" i="8"/>
  <c r="D3" i="8"/>
  <c r="D2" i="8"/>
  <c r="E2" i="7"/>
  <c r="D2" i="7"/>
  <c r="C2" i="7"/>
  <c r="D5" i="3"/>
  <c r="D4" i="3"/>
  <c r="D3" i="3"/>
  <c r="D2" i="3"/>
  <c r="E2" i="3"/>
  <c r="D5" i="1"/>
  <c r="D4" i="1"/>
  <c r="E4" i="1" s="1"/>
  <c r="D3" i="1"/>
  <c r="D2" i="1"/>
  <c r="E2" i="1" s="1"/>
  <c r="E5" i="1"/>
  <c r="B5" i="6"/>
  <c r="B4" i="6"/>
  <c r="B3" i="6"/>
  <c r="B2" i="6"/>
  <c r="B5" i="5"/>
  <c r="B4" i="5"/>
  <c r="B3" i="5"/>
  <c r="B2" i="5"/>
  <c r="E5" i="3"/>
  <c r="E4" i="3"/>
  <c r="E3" i="3"/>
  <c r="E3" i="1"/>
</calcChain>
</file>

<file path=xl/sharedStrings.xml><?xml version="1.0" encoding="utf-8"?>
<sst xmlns="http://schemas.openxmlformats.org/spreadsheetml/2006/main" count="155" uniqueCount="23">
  <si>
    <t>Age</t>
  </si>
  <si>
    <t>Cases</t>
  </si>
  <si>
    <t>Years</t>
  </si>
  <si>
    <t>[2001, 2008]</t>
  </si>
  <si>
    <t>[0, 1)</t>
  </si>
  <si>
    <t>[1, 2)</t>
  </si>
  <si>
    <t>[2, 5)</t>
  </si>
  <si>
    <t>[5, 125)</t>
  </si>
  <si>
    <t>Population</t>
  </si>
  <si>
    <t>Cases per 100k</t>
  </si>
  <si>
    <t>Year</t>
  </si>
  <si>
    <t>Genotype</t>
  </si>
  <si>
    <t>Proportion</t>
  </si>
  <si>
    <t>G1P8</t>
  </si>
  <si>
    <t>G2P4</t>
  </si>
  <si>
    <t>G9P8</t>
  </si>
  <si>
    <t>Other</t>
  </si>
  <si>
    <t>Count</t>
  </si>
  <si>
    <t>ref_prop</t>
  </si>
  <si>
    <t>[0, 125)</t>
  </si>
  <si>
    <t>[2008, 2013)</t>
  </si>
  <si>
    <t>Population_sum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</si>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</sst>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C24D2-B6F0-EE40-A18D-43C5B5E5D0E0}">
  <dimension ref="A1:E5"/>
  <sheetViews>
    <sheetView workbookViewId="0">
      <selection activeCell="D1" sqref="D1"/>
    </sheetView>
  </sheetViews>
  <sheetFormatPr baseColWidth="10" defaultRowHeight="16" x14ac:dyDescent="0.2"/>
  <cols>
    <col min="5" max="5" width="13.33203125" bestFit="1" customWidth="1"/>
  </cols>
  <sheetData>
    <row r="1" spans="1:5" x14ac:dyDescent="0.2">
      <c r="A1" t="s">
        <v>2</v>
      </c>
      <c r="B1" t="s">
        <v>0</v>
      </c>
      <c r="C1" t="s">
        <v>1</v>
      </c>
      <c r="D1" t="s">
        <v>8</v>
      </c>
      <c r="E1" t="s">
        <v>9</v>
      </c>
    </row>
    <row r="2" spans="1:5" x14ac:dyDescent="0.2">
      <c r="A2" t="s">
        <v>3</v>
      </c>
      <c r="B2" t="s">
        <v>4</v>
      </c>
      <c r="C2">
        <v>407</v>
      </c>
      <c r="D2">
        <f>24000000*0.025</f>
        <v>600000</v>
      </c>
      <c r="E2">
        <f>(C2/(D2*8))*100000</f>
        <v>8.4791666666666661</v>
      </c>
    </row>
    <row r="3" spans="1:5" x14ac:dyDescent="0.2">
      <c r="A3" t="s">
        <v>3</v>
      </c>
      <c r="B3" t="s">
        <v>5</v>
      </c>
      <c r="C3">
        <v>153</v>
      </c>
      <c r="D3">
        <f>24000000*0.025</f>
        <v>600000</v>
      </c>
      <c r="E3">
        <f t="shared" ref="E3:E5" si="0">(C3/(D3*8))*100000</f>
        <v>3.1875000000000004</v>
      </c>
    </row>
    <row r="4" spans="1:5" x14ac:dyDescent="0.2">
      <c r="A4" t="s">
        <v>3</v>
      </c>
      <c r="B4" t="s">
        <v>6</v>
      </c>
      <c r="C4">
        <v>30</v>
      </c>
      <c r="D4">
        <f>24000000*0.075</f>
        <v>1800000</v>
      </c>
      <c r="E4">
        <f t="shared" si="0"/>
        <v>0.20833333333333334</v>
      </c>
    </row>
    <row r="5" spans="1:5" x14ac:dyDescent="0.2">
      <c r="A5" t="s">
        <v>3</v>
      </c>
      <c r="B5" t="s">
        <v>7</v>
      </c>
      <c r="C5">
        <v>43</v>
      </c>
      <c r="D5">
        <f>24000000*0.875</f>
        <v>21000000</v>
      </c>
      <c r="E5">
        <f t="shared" si="0"/>
        <v>2.5595238095238095E-2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5B8B4-6F72-DC4D-9E2E-0C981A30C433}">
  <dimension ref="A1:D33"/>
  <sheetViews>
    <sheetView topLeftCell="A8" workbookViewId="0">
      <selection activeCell="C1" sqref="C1"/>
    </sheetView>
  </sheetViews>
  <sheetFormatPr baseColWidth="10" defaultRowHeight="16" x14ac:dyDescent="0.2"/>
  <cols>
    <col min="6" max="6" width="13.33203125" bestFit="1" customWidth="1"/>
  </cols>
  <sheetData>
    <row r="1" spans="1:4" x14ac:dyDescent="0.2">
      <c r="A1" t="s">
        <v>10</v>
      </c>
      <c r="B1" t="s">
        <v>11</v>
      </c>
      <c r="C1" t="s">
        <v>17</v>
      </c>
      <c r="D1" t="s">
        <v>12</v>
      </c>
    </row>
    <row r="2" spans="1:4" x14ac:dyDescent="0.2">
      <c r="A2">
        <v>2001</v>
      </c>
      <c r="B2" t="s">
        <v>13</v>
      </c>
      <c r="C2">
        <v>8</v>
      </c>
      <c r="D2">
        <v>0.170212765957447</v>
      </c>
    </row>
    <row r="3" spans="1:4" x14ac:dyDescent="0.2">
      <c r="A3">
        <v>2001</v>
      </c>
      <c r="B3" t="s">
        <v>14</v>
      </c>
      <c r="C3">
        <v>10</v>
      </c>
      <c r="D3">
        <v>0.21276595744680901</v>
      </c>
    </row>
    <row r="4" spans="1:4" x14ac:dyDescent="0.2">
      <c r="A4">
        <v>2001</v>
      </c>
      <c r="B4" t="s">
        <v>15</v>
      </c>
      <c r="C4">
        <v>18</v>
      </c>
      <c r="D4">
        <v>0.38297872340425498</v>
      </c>
    </row>
    <row r="5" spans="1:4" x14ac:dyDescent="0.2">
      <c r="A5">
        <v>2001</v>
      </c>
      <c r="B5" t="s">
        <v>16</v>
      </c>
      <c r="C5">
        <v>11</v>
      </c>
      <c r="D5">
        <v>0.23404255319148901</v>
      </c>
    </row>
    <row r="6" spans="1:4" x14ac:dyDescent="0.2">
      <c r="A6">
        <v>2002</v>
      </c>
      <c r="B6" t="s">
        <v>13</v>
      </c>
      <c r="C6">
        <v>27</v>
      </c>
      <c r="D6">
        <v>0.45</v>
      </c>
    </row>
    <row r="7" spans="1:4" x14ac:dyDescent="0.2">
      <c r="A7">
        <v>2002</v>
      </c>
      <c r="B7" t="s">
        <v>14</v>
      </c>
      <c r="C7">
        <v>9</v>
      </c>
      <c r="D7">
        <v>0.15</v>
      </c>
    </row>
    <row r="8" spans="1:4" x14ac:dyDescent="0.2">
      <c r="A8">
        <v>2002</v>
      </c>
      <c r="B8" t="s">
        <v>15</v>
      </c>
      <c r="C8">
        <v>15</v>
      </c>
      <c r="D8">
        <v>0.25</v>
      </c>
    </row>
    <row r="9" spans="1:4" x14ac:dyDescent="0.2">
      <c r="A9">
        <v>2002</v>
      </c>
      <c r="B9" t="s">
        <v>16</v>
      </c>
      <c r="C9">
        <v>9</v>
      </c>
      <c r="D9">
        <v>0.15</v>
      </c>
    </row>
    <row r="10" spans="1:4" x14ac:dyDescent="0.2">
      <c r="A10">
        <v>2003</v>
      </c>
      <c r="B10" t="s">
        <v>13</v>
      </c>
      <c r="C10">
        <v>19</v>
      </c>
      <c r="D10">
        <v>0.422222222222222</v>
      </c>
    </row>
    <row r="11" spans="1:4" x14ac:dyDescent="0.2">
      <c r="A11">
        <v>2003</v>
      </c>
      <c r="B11" t="s">
        <v>14</v>
      </c>
      <c r="C11">
        <v>8</v>
      </c>
      <c r="D11">
        <v>0.17777777777777801</v>
      </c>
    </row>
    <row r="12" spans="1:4" x14ac:dyDescent="0.2">
      <c r="A12">
        <v>2003</v>
      </c>
      <c r="B12" t="s">
        <v>15</v>
      </c>
      <c r="C12">
        <v>9</v>
      </c>
      <c r="D12">
        <v>0.2</v>
      </c>
    </row>
    <row r="13" spans="1:4" x14ac:dyDescent="0.2">
      <c r="A13">
        <v>2003</v>
      </c>
      <c r="B13" t="s">
        <v>16</v>
      </c>
      <c r="C13">
        <v>9</v>
      </c>
      <c r="D13">
        <v>0.2</v>
      </c>
    </row>
    <row r="14" spans="1:4" x14ac:dyDescent="0.2">
      <c r="A14">
        <v>2004</v>
      </c>
      <c r="B14" t="s">
        <v>13</v>
      </c>
      <c r="C14">
        <v>10</v>
      </c>
      <c r="D14">
        <v>0.217391304347826</v>
      </c>
    </row>
    <row r="15" spans="1:4" x14ac:dyDescent="0.2">
      <c r="A15">
        <v>2004</v>
      </c>
      <c r="B15" t="s">
        <v>14</v>
      </c>
      <c r="C15">
        <v>4</v>
      </c>
      <c r="D15">
        <v>8.6956521739130405E-2</v>
      </c>
    </row>
    <row r="16" spans="1:4" x14ac:dyDescent="0.2">
      <c r="A16">
        <v>2004</v>
      </c>
      <c r="B16" t="s">
        <v>15</v>
      </c>
      <c r="C16">
        <v>14</v>
      </c>
      <c r="D16">
        <v>0.30434782608695699</v>
      </c>
    </row>
    <row r="17" spans="1:4" x14ac:dyDescent="0.2">
      <c r="A17">
        <v>2004</v>
      </c>
      <c r="B17" t="s">
        <v>16</v>
      </c>
      <c r="C17">
        <v>18</v>
      </c>
      <c r="D17">
        <v>0.39130434782608697</v>
      </c>
    </row>
    <row r="18" spans="1:4" x14ac:dyDescent="0.2">
      <c r="A18">
        <v>2005</v>
      </c>
      <c r="B18" t="s">
        <v>13</v>
      </c>
      <c r="C18">
        <v>17</v>
      </c>
      <c r="D18">
        <v>0.34693877551020402</v>
      </c>
    </row>
    <row r="19" spans="1:4" x14ac:dyDescent="0.2">
      <c r="A19">
        <v>2005</v>
      </c>
      <c r="B19" t="s">
        <v>14</v>
      </c>
      <c r="C19">
        <v>12</v>
      </c>
      <c r="D19">
        <v>0.24489795918367299</v>
      </c>
    </row>
    <row r="20" spans="1:4" x14ac:dyDescent="0.2">
      <c r="A20">
        <v>2005</v>
      </c>
      <c r="B20" t="s">
        <v>15</v>
      </c>
      <c r="C20">
        <v>10</v>
      </c>
      <c r="D20">
        <v>0.20408163265306101</v>
      </c>
    </row>
    <row r="21" spans="1:4" x14ac:dyDescent="0.2">
      <c r="A21">
        <v>2005</v>
      </c>
      <c r="B21" t="s">
        <v>16</v>
      </c>
      <c r="C21">
        <v>10</v>
      </c>
      <c r="D21">
        <v>0.20408163265306101</v>
      </c>
    </row>
    <row r="22" spans="1:4" x14ac:dyDescent="0.2">
      <c r="A22">
        <v>2006</v>
      </c>
      <c r="B22" t="s">
        <v>13</v>
      </c>
      <c r="C22">
        <v>7</v>
      </c>
      <c r="D22">
        <v>0.14285714285714299</v>
      </c>
    </row>
    <row r="23" spans="1:4" x14ac:dyDescent="0.2">
      <c r="A23">
        <v>2006</v>
      </c>
      <c r="B23" t="s">
        <v>14</v>
      </c>
      <c r="C23">
        <v>23</v>
      </c>
      <c r="D23">
        <v>0.469387755102041</v>
      </c>
    </row>
    <row r="24" spans="1:4" x14ac:dyDescent="0.2">
      <c r="A24">
        <v>2006</v>
      </c>
      <c r="B24" t="s">
        <v>15</v>
      </c>
      <c r="C24">
        <v>6</v>
      </c>
      <c r="D24">
        <v>0.122448979591837</v>
      </c>
    </row>
    <row r="25" spans="1:4" x14ac:dyDescent="0.2">
      <c r="A25">
        <v>2006</v>
      </c>
      <c r="B25" t="s">
        <v>16</v>
      </c>
      <c r="C25">
        <v>13</v>
      </c>
      <c r="D25">
        <v>0.26530612244898</v>
      </c>
    </row>
    <row r="26" spans="1:4" x14ac:dyDescent="0.2">
      <c r="A26">
        <v>2007</v>
      </c>
      <c r="B26" t="s">
        <v>13</v>
      </c>
      <c r="C26">
        <v>17</v>
      </c>
      <c r="D26">
        <v>0.34</v>
      </c>
    </row>
    <row r="27" spans="1:4" x14ac:dyDescent="0.2">
      <c r="A27">
        <v>2007</v>
      </c>
      <c r="B27" t="s">
        <v>14</v>
      </c>
      <c r="C27">
        <v>14</v>
      </c>
      <c r="D27">
        <v>0.28000000000000003</v>
      </c>
    </row>
    <row r="28" spans="1:4" x14ac:dyDescent="0.2">
      <c r="A28">
        <v>2007</v>
      </c>
      <c r="B28" t="s">
        <v>15</v>
      </c>
      <c r="C28">
        <v>11</v>
      </c>
      <c r="D28">
        <v>0.22</v>
      </c>
    </row>
    <row r="29" spans="1:4" x14ac:dyDescent="0.2">
      <c r="A29">
        <v>2007</v>
      </c>
      <c r="B29" t="s">
        <v>16</v>
      </c>
      <c r="C29">
        <v>8</v>
      </c>
      <c r="D29">
        <v>0.16</v>
      </c>
    </row>
    <row r="30" spans="1:4" x14ac:dyDescent="0.2">
      <c r="A30">
        <v>2008</v>
      </c>
      <c r="B30" t="s">
        <v>13</v>
      </c>
      <c r="C30">
        <v>11</v>
      </c>
      <c r="D30">
        <v>0.19642857142857101</v>
      </c>
    </row>
    <row r="31" spans="1:4" x14ac:dyDescent="0.2">
      <c r="A31">
        <v>2008</v>
      </c>
      <c r="B31" t="s">
        <v>14</v>
      </c>
      <c r="C31">
        <v>16</v>
      </c>
      <c r="D31">
        <v>0.28571428571428598</v>
      </c>
    </row>
    <row r="32" spans="1:4" x14ac:dyDescent="0.2">
      <c r="A32">
        <v>2008</v>
      </c>
      <c r="B32" t="s">
        <v>15</v>
      </c>
      <c r="C32">
        <v>20</v>
      </c>
      <c r="D32">
        <v>0.35714285714285698</v>
      </c>
    </row>
    <row r="33" spans="1:4" x14ac:dyDescent="0.2">
      <c r="A33">
        <v>2008</v>
      </c>
      <c r="B33" t="s">
        <v>16</v>
      </c>
      <c r="C33">
        <v>9</v>
      </c>
      <c r="D33">
        <v>0.160714285714286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4FE97-8BEA-0B48-85AC-591DFCC80A8E}">
  <dimension ref="A1:B5"/>
  <sheetViews>
    <sheetView workbookViewId="0">
      <selection activeCell="B13" sqref="B13"/>
    </sheetView>
  </sheetViews>
  <sheetFormatPr baseColWidth="10" defaultRowHeight="16" x14ac:dyDescent="0.2"/>
  <sheetData>
    <row r="1" spans="1:2" x14ac:dyDescent="0.2">
      <c r="A1" t="s">
        <v>11</v>
      </c>
      <c r="B1" t="s">
        <v>18</v>
      </c>
    </row>
    <row r="2" spans="1:2" x14ac:dyDescent="0.2">
      <c r="A2" t="s">
        <v>13</v>
      </c>
      <c r="B2">
        <f>SUM(Dhaka_yr_geno!D2,Dhaka_yr_geno!D6,Dhaka_yr_geno!D10,Dhaka_yr_geno!D14,Dhaka_yr_geno!D18,Dhaka_yr_geno!D22,Dhaka_yr_geno!D26,Dhaka_yr_geno!D30)/8</f>
        <v>0.28575634779042663</v>
      </c>
    </row>
    <row r="3" spans="1:2" x14ac:dyDescent="0.2">
      <c r="A3" t="s">
        <v>14</v>
      </c>
      <c r="B3">
        <f>SUM(Dhaka_yr_geno!D3,Dhaka_yr_geno!D7,Dhaka_yr_geno!D11,Dhaka_yr_geno!D15,Dhaka_yr_geno!D19,Dhaka_yr_geno!D23,Dhaka_yr_geno!D27,Dhaka_yr_geno!D31)/8</f>
        <v>0.23843753212046467</v>
      </c>
    </row>
    <row r="4" spans="1:2" x14ac:dyDescent="0.2">
      <c r="A4" t="s">
        <v>15</v>
      </c>
      <c r="B4">
        <f>SUM(Dhaka_yr_geno!D4,Dhaka_yr_geno!D8,Dhaka_yr_geno!D12,Dhaka_yr_geno!D16,Dhaka_yr_geno!D20,Dhaka_yr_geno!D24,Dhaka_yr_geno!D28,Dhaka_yr_geno!D32)/8</f>
        <v>0.2551250023598709</v>
      </c>
    </row>
    <row r="5" spans="1:2" x14ac:dyDescent="0.2">
      <c r="A5" t="s">
        <v>16</v>
      </c>
      <c r="B5">
        <f>SUM(Dhaka_yr_geno!D5,Dhaka_yr_geno!D9,Dhaka_yr_geno!D13,Dhaka_yr_geno!D17,Dhaka_yr_geno!D21,Dhaka_yr_geno!D25,Dhaka_yr_geno!D29,Dhaka_yr_geno!D33)/8</f>
        <v>0.22068111772923785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5E573-6851-7F4E-9CA7-51B823735174}">
  <dimension ref="A1:E5"/>
  <sheetViews>
    <sheetView workbookViewId="0">
      <selection activeCell="D13" sqref="D13"/>
    </sheetView>
  </sheetViews>
  <sheetFormatPr baseColWidth="10" defaultRowHeight="16" x14ac:dyDescent="0.2"/>
  <cols>
    <col min="5" max="5" width="13.33203125" bestFit="1" customWidth="1"/>
  </cols>
  <sheetData>
    <row r="1" spans="1:5" x14ac:dyDescent="0.2">
      <c r="A1" t="s">
        <v>2</v>
      </c>
      <c r="B1" t="s">
        <v>0</v>
      </c>
      <c r="C1" t="s">
        <v>1</v>
      </c>
      <c r="D1" t="s">
        <v>8</v>
      </c>
      <c r="E1" t="s">
        <v>9</v>
      </c>
    </row>
    <row r="2" spans="1:5" x14ac:dyDescent="0.2">
      <c r="A2" t="s">
        <v>3</v>
      </c>
      <c r="B2" t="s">
        <v>4</v>
      </c>
      <c r="C2">
        <v>204</v>
      </c>
      <c r="D2">
        <f>240000*0.026</f>
        <v>6240</v>
      </c>
      <c r="E2">
        <f>(C2/(D2*8))*100000</f>
        <v>408.65384615384619</v>
      </c>
    </row>
    <row r="3" spans="1:5" x14ac:dyDescent="0.2">
      <c r="A3" t="s">
        <v>3</v>
      </c>
      <c r="B3" t="s">
        <v>5</v>
      </c>
      <c r="C3">
        <v>150</v>
      </c>
      <c r="D3">
        <f>240000*0.026</f>
        <v>6240</v>
      </c>
      <c r="E3">
        <f t="shared" ref="E3:E5" si="0">(C3/(D3*8))*100000</f>
        <v>300.48076923076923</v>
      </c>
    </row>
    <row r="4" spans="1:5" x14ac:dyDescent="0.2">
      <c r="A4" t="s">
        <v>3</v>
      </c>
      <c r="B4" t="s">
        <v>6</v>
      </c>
      <c r="C4">
        <v>21</v>
      </c>
      <c r="D4">
        <f>240000*0.079</f>
        <v>18960</v>
      </c>
      <c r="E4">
        <f t="shared" si="0"/>
        <v>13.844936708860761</v>
      </c>
    </row>
    <row r="5" spans="1:5" x14ac:dyDescent="0.2">
      <c r="A5" t="s">
        <v>3</v>
      </c>
      <c r="B5" t="s">
        <v>7</v>
      </c>
      <c r="C5">
        <v>16</v>
      </c>
      <c r="D5">
        <f>240000*0.869</f>
        <v>208560</v>
      </c>
      <c r="E5">
        <f t="shared" si="0"/>
        <v>0.95895665515918671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8B9C-20CF-A543-9599-29F0E92C7457}">
  <dimension ref="A1:D33"/>
  <sheetViews>
    <sheetView workbookViewId="0">
      <selection activeCell="B2" sqref="B2:B5"/>
    </sheetView>
  </sheetViews>
  <sheetFormatPr baseColWidth="10" defaultRowHeight="16" x14ac:dyDescent="0.2"/>
  <sheetData>
    <row r="1" spans="1:4" x14ac:dyDescent="0.2">
      <c r="A1" t="s">
        <v>10</v>
      </c>
      <c r="B1" t="s">
        <v>11</v>
      </c>
      <c r="C1" t="s">
        <v>17</v>
      </c>
      <c r="D1" t="s">
        <v>12</v>
      </c>
    </row>
    <row r="2" spans="1:4" x14ac:dyDescent="0.2">
      <c r="A2">
        <v>2001</v>
      </c>
      <c r="B2" t="s">
        <v>13</v>
      </c>
      <c r="C2">
        <v>6</v>
      </c>
      <c r="D2">
        <v>0.162162162162162</v>
      </c>
    </row>
    <row r="3" spans="1:4" x14ac:dyDescent="0.2">
      <c r="A3">
        <v>2001</v>
      </c>
      <c r="B3" t="s">
        <v>14</v>
      </c>
      <c r="C3">
        <v>7</v>
      </c>
      <c r="D3">
        <v>0.18918918918918901</v>
      </c>
    </row>
    <row r="4" spans="1:4" x14ac:dyDescent="0.2">
      <c r="A4">
        <v>2001</v>
      </c>
      <c r="B4" t="s">
        <v>15</v>
      </c>
      <c r="C4">
        <v>16</v>
      </c>
      <c r="D4">
        <v>0.43243243243243201</v>
      </c>
    </row>
    <row r="5" spans="1:4" x14ac:dyDescent="0.2">
      <c r="A5">
        <v>2001</v>
      </c>
      <c r="B5" t="s">
        <v>16</v>
      </c>
      <c r="C5">
        <v>8</v>
      </c>
      <c r="D5">
        <v>0.21621621621621601</v>
      </c>
    </row>
    <row r="6" spans="1:4" x14ac:dyDescent="0.2">
      <c r="A6">
        <v>2002</v>
      </c>
      <c r="B6" t="s">
        <v>13</v>
      </c>
      <c r="C6">
        <v>25</v>
      </c>
      <c r="D6">
        <v>0.49019607843137297</v>
      </c>
    </row>
    <row r="7" spans="1:4" x14ac:dyDescent="0.2">
      <c r="A7">
        <v>2002</v>
      </c>
      <c r="B7" t="s">
        <v>14</v>
      </c>
      <c r="C7">
        <v>7</v>
      </c>
      <c r="D7">
        <v>0.13725490196078399</v>
      </c>
    </row>
    <row r="8" spans="1:4" x14ac:dyDescent="0.2">
      <c r="A8">
        <v>2002</v>
      </c>
      <c r="B8" t="s">
        <v>15</v>
      </c>
      <c r="C8">
        <v>7</v>
      </c>
      <c r="D8">
        <v>0.13725490196078399</v>
      </c>
    </row>
    <row r="9" spans="1:4" x14ac:dyDescent="0.2">
      <c r="A9">
        <v>2002</v>
      </c>
      <c r="B9" t="s">
        <v>16</v>
      </c>
      <c r="C9">
        <v>12</v>
      </c>
      <c r="D9">
        <v>0.23529411764705899</v>
      </c>
    </row>
    <row r="10" spans="1:4" x14ac:dyDescent="0.2">
      <c r="A10">
        <v>2003</v>
      </c>
      <c r="B10" t="s">
        <v>13</v>
      </c>
      <c r="C10">
        <v>15</v>
      </c>
      <c r="D10">
        <v>0.5</v>
      </c>
    </row>
    <row r="11" spans="1:4" x14ac:dyDescent="0.2">
      <c r="A11">
        <v>2003</v>
      </c>
      <c r="B11" t="s">
        <v>14</v>
      </c>
      <c r="C11">
        <v>3</v>
      </c>
      <c r="D11">
        <v>0.1</v>
      </c>
    </row>
    <row r="12" spans="1:4" x14ac:dyDescent="0.2">
      <c r="A12">
        <v>2003</v>
      </c>
      <c r="B12" t="s">
        <v>15</v>
      </c>
      <c r="C12">
        <v>9</v>
      </c>
      <c r="D12">
        <v>0.3</v>
      </c>
    </row>
    <row r="13" spans="1:4" x14ac:dyDescent="0.2">
      <c r="A13">
        <v>2003</v>
      </c>
      <c r="B13" t="s">
        <v>16</v>
      </c>
      <c r="C13">
        <v>3</v>
      </c>
      <c r="D13">
        <v>0.1</v>
      </c>
    </row>
    <row r="14" spans="1:4" x14ac:dyDescent="0.2">
      <c r="A14">
        <v>2004</v>
      </c>
      <c r="B14" t="s">
        <v>13</v>
      </c>
      <c r="C14">
        <v>14</v>
      </c>
      <c r="D14">
        <v>0.41176470588235298</v>
      </c>
    </row>
    <row r="15" spans="1:4" x14ac:dyDescent="0.2">
      <c r="A15">
        <v>2004</v>
      </c>
      <c r="B15" t="s">
        <v>14</v>
      </c>
      <c r="C15">
        <v>6</v>
      </c>
      <c r="D15">
        <v>0.17647058823529399</v>
      </c>
    </row>
    <row r="16" spans="1:4" x14ac:dyDescent="0.2">
      <c r="A16">
        <v>2004</v>
      </c>
      <c r="B16" t="s">
        <v>15</v>
      </c>
      <c r="C16">
        <v>10</v>
      </c>
      <c r="D16">
        <v>0.29411764705882398</v>
      </c>
    </row>
    <row r="17" spans="1:4" x14ac:dyDescent="0.2">
      <c r="A17">
        <v>2004</v>
      </c>
      <c r="B17" t="s">
        <v>16</v>
      </c>
      <c r="C17">
        <v>4</v>
      </c>
      <c r="D17">
        <v>0.11764705882352899</v>
      </c>
    </row>
    <row r="18" spans="1:4" x14ac:dyDescent="0.2">
      <c r="A18">
        <v>2005</v>
      </c>
      <c r="B18" t="s">
        <v>13</v>
      </c>
      <c r="C18">
        <v>9</v>
      </c>
      <c r="D18">
        <v>0.28125</v>
      </c>
    </row>
    <row r="19" spans="1:4" x14ac:dyDescent="0.2">
      <c r="A19">
        <v>2005</v>
      </c>
      <c r="B19" t="s">
        <v>14</v>
      </c>
      <c r="C19">
        <v>10</v>
      </c>
      <c r="D19">
        <v>0.3125</v>
      </c>
    </row>
    <row r="20" spans="1:4" x14ac:dyDescent="0.2">
      <c r="A20">
        <v>2005</v>
      </c>
      <c r="B20" t="s">
        <v>15</v>
      </c>
      <c r="C20">
        <v>8</v>
      </c>
      <c r="D20">
        <v>0.25</v>
      </c>
    </row>
    <row r="21" spans="1:4" x14ac:dyDescent="0.2">
      <c r="A21">
        <v>2005</v>
      </c>
      <c r="B21" t="s">
        <v>16</v>
      </c>
      <c r="C21">
        <v>5</v>
      </c>
      <c r="D21">
        <v>0.15625</v>
      </c>
    </row>
    <row r="22" spans="1:4" x14ac:dyDescent="0.2">
      <c r="A22">
        <v>2006</v>
      </c>
      <c r="B22" t="s">
        <v>13</v>
      </c>
      <c r="C22">
        <v>6</v>
      </c>
      <c r="D22">
        <v>0.230769230769231</v>
      </c>
    </row>
    <row r="23" spans="1:4" x14ac:dyDescent="0.2">
      <c r="A23">
        <v>2006</v>
      </c>
      <c r="B23" t="s">
        <v>14</v>
      </c>
      <c r="C23">
        <v>9</v>
      </c>
      <c r="D23">
        <v>0.34615384615384598</v>
      </c>
    </row>
    <row r="24" spans="1:4" x14ac:dyDescent="0.2">
      <c r="A24">
        <v>2006</v>
      </c>
      <c r="B24" t="s">
        <v>15</v>
      </c>
      <c r="C24">
        <v>7</v>
      </c>
      <c r="D24">
        <v>0.269230769230769</v>
      </c>
    </row>
    <row r="25" spans="1:4" x14ac:dyDescent="0.2">
      <c r="A25">
        <v>2006</v>
      </c>
      <c r="B25" t="s">
        <v>16</v>
      </c>
      <c r="C25">
        <v>4</v>
      </c>
      <c r="D25">
        <v>0.15384615384615399</v>
      </c>
    </row>
    <row r="26" spans="1:4" x14ac:dyDescent="0.2">
      <c r="A26">
        <v>2007</v>
      </c>
      <c r="B26" t="s">
        <v>13</v>
      </c>
      <c r="C26">
        <v>8</v>
      </c>
      <c r="D26">
        <v>0.25</v>
      </c>
    </row>
    <row r="27" spans="1:4" x14ac:dyDescent="0.2">
      <c r="A27">
        <v>2007</v>
      </c>
      <c r="B27" t="s">
        <v>14</v>
      </c>
      <c r="C27">
        <v>8</v>
      </c>
      <c r="D27">
        <v>0.25</v>
      </c>
    </row>
    <row r="28" spans="1:4" x14ac:dyDescent="0.2">
      <c r="A28">
        <v>2007</v>
      </c>
      <c r="B28" t="s">
        <v>15</v>
      </c>
      <c r="C28">
        <v>10</v>
      </c>
      <c r="D28">
        <v>0.3125</v>
      </c>
    </row>
    <row r="29" spans="1:4" x14ac:dyDescent="0.2">
      <c r="A29">
        <v>2007</v>
      </c>
      <c r="B29" t="s">
        <v>16</v>
      </c>
      <c r="C29">
        <v>6</v>
      </c>
      <c r="D29">
        <v>0.1875</v>
      </c>
    </row>
    <row r="30" spans="1:4" x14ac:dyDescent="0.2">
      <c r="A30">
        <v>2008</v>
      </c>
      <c r="B30" t="s">
        <v>13</v>
      </c>
      <c r="C30">
        <v>16</v>
      </c>
      <c r="D30">
        <v>0.372093023255814</v>
      </c>
    </row>
    <row r="31" spans="1:4" x14ac:dyDescent="0.2">
      <c r="A31">
        <v>2008</v>
      </c>
      <c r="B31" t="s">
        <v>14</v>
      </c>
      <c r="C31">
        <v>7</v>
      </c>
      <c r="D31">
        <v>0.162790697674419</v>
      </c>
    </row>
    <row r="32" spans="1:4" x14ac:dyDescent="0.2">
      <c r="A32">
        <v>2008</v>
      </c>
      <c r="B32" t="s">
        <v>15</v>
      </c>
      <c r="C32">
        <v>10</v>
      </c>
      <c r="D32">
        <v>0.232558139534884</v>
      </c>
    </row>
    <row r="33" spans="1:4" x14ac:dyDescent="0.2">
      <c r="A33">
        <v>2008</v>
      </c>
      <c r="B33" t="s">
        <v>16</v>
      </c>
      <c r="C33">
        <v>10</v>
      </c>
      <c r="D33">
        <v>0.232558139534884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02701-F0B9-034D-A96F-304279419AEA}">
  <dimension ref="A1:B5"/>
  <sheetViews>
    <sheetView workbookViewId="0">
      <selection activeCell="J24" sqref="J24"/>
    </sheetView>
  </sheetViews>
  <sheetFormatPr baseColWidth="10" defaultRowHeight="16" x14ac:dyDescent="0.2"/>
  <sheetData>
    <row r="1" spans="1:2" x14ac:dyDescent="0.2">
      <c r="A1" t="s">
        <v>11</v>
      </c>
      <c r="B1" t="s">
        <v>18</v>
      </c>
    </row>
    <row r="2" spans="1:2" x14ac:dyDescent="0.2">
      <c r="A2" t="s">
        <v>13</v>
      </c>
      <c r="B2">
        <f>SUM(Matlab_yr_geno!D2,Matlab_yr_geno!D6,Matlab_yr_geno!D10,Matlab_yr_geno!D14,Matlab_yr_geno!D18,Matlab_yr_geno!D22,Matlab_yr_geno!D26,Matlab_yr_geno!D30)/8</f>
        <v>0.33727940006261664</v>
      </c>
    </row>
    <row r="3" spans="1:2" x14ac:dyDescent="0.2">
      <c r="A3" t="s">
        <v>14</v>
      </c>
      <c r="B3">
        <f>SUM(Matlab_yr_geno!D3,Matlab_yr_geno!D7,Matlab_yr_geno!D11,Matlab_yr_geno!D15,Matlab_yr_geno!D19,Matlab_yr_geno!D23,Matlab_yr_geno!D27,Matlab_yr_geno!D31)/8</f>
        <v>0.2092949029016915</v>
      </c>
    </row>
    <row r="4" spans="1:2" x14ac:dyDescent="0.2">
      <c r="A4" t="s">
        <v>15</v>
      </c>
      <c r="B4">
        <f>SUM(Matlab_yr_geno!D4,Matlab_yr_geno!D8,Matlab_yr_geno!D12,Matlab_yr_geno!D16,Matlab_yr_geno!D20,Matlab_yr_geno!D24,Matlab_yr_geno!D28,Matlab_yr_geno!D32)/8</f>
        <v>0.27851173627721165</v>
      </c>
    </row>
    <row r="5" spans="1:2" x14ac:dyDescent="0.2">
      <c r="A5" t="s">
        <v>16</v>
      </c>
      <c r="B5">
        <f>SUM(Matlab_yr_geno!D5,Matlab_yr_geno!D9,Matlab_yr_geno!D13,Matlab_yr_geno!D17,Matlab_yr_geno!D21,Matlab_yr_geno!D25,Matlab_yr_geno!D29,Matlab_yr_geno!D33)/8</f>
        <v>0.17491396075848023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D8AEC-1468-E447-859B-E557AB4C5AE4}">
  <dimension ref="A1:E2"/>
  <sheetViews>
    <sheetView workbookViewId="0">
      <selection sqref="A1:E2"/>
    </sheetView>
  </sheetViews>
  <sheetFormatPr baseColWidth="10" defaultRowHeight="16" x14ac:dyDescent="0.2"/>
  <cols>
    <col min="5" max="5" width="13.33203125" bestFit="1" customWidth="1"/>
  </cols>
  <sheetData>
    <row r="1" spans="1:5" x14ac:dyDescent="0.2">
      <c r="A1" t="s">
        <v>2</v>
      </c>
      <c r="B1" t="s">
        <v>0</v>
      </c>
      <c r="C1" t="s">
        <v>1</v>
      </c>
      <c r="D1" t="s">
        <v>8</v>
      </c>
      <c r="E1" t="s">
        <v>9</v>
      </c>
    </row>
    <row r="2" spans="1:5" x14ac:dyDescent="0.2">
      <c r="A2" t="s">
        <v>3</v>
      </c>
      <c r="B2" t="s">
        <v>19</v>
      </c>
      <c r="C2">
        <f>SUM(Matlab_ageincidence!C2:C5)</f>
        <v>391</v>
      </c>
      <c r="D2">
        <f>SUM(Matlab_ageincidence!D2:D5)</f>
        <v>240000</v>
      </c>
      <c r="E2">
        <f>(C2/(D2*8))*100000</f>
        <v>20.364583333333332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DD37E-C803-FD40-8D37-8B0B8BEFDC6F}">
  <dimension ref="A1:D5"/>
  <sheetViews>
    <sheetView workbookViewId="0">
      <selection sqref="A1:D5"/>
    </sheetView>
  </sheetViews>
  <sheetFormatPr baseColWidth="10" defaultRowHeight="16" x14ac:dyDescent="0.2"/>
  <sheetData>
    <row r="1" spans="1:4" x14ac:dyDescent="0.2">
      <c r="A1" t="s">
        <v>2</v>
      </c>
      <c r="B1" t="s">
        <v>0</v>
      </c>
      <c r="C1" t="s">
        <v>1</v>
      </c>
      <c r="D1" t="s">
        <v>12</v>
      </c>
    </row>
    <row r="2" spans="1:4" x14ac:dyDescent="0.2">
      <c r="A2" t="s">
        <v>3</v>
      </c>
      <c r="B2" t="s">
        <v>4</v>
      </c>
      <c r="C2">
        <v>204</v>
      </c>
      <c r="D2">
        <f>C2/SUM(C2:C5)</f>
        <v>0.52173913043478259</v>
      </c>
    </row>
    <row r="3" spans="1:4" x14ac:dyDescent="0.2">
      <c r="A3" t="s">
        <v>3</v>
      </c>
      <c r="B3" t="s">
        <v>5</v>
      </c>
      <c r="C3">
        <v>150</v>
      </c>
      <c r="D3">
        <f>C3/SUM(C2:C5)</f>
        <v>0.38363171355498721</v>
      </c>
    </row>
    <row r="4" spans="1:4" x14ac:dyDescent="0.2">
      <c r="A4" t="s">
        <v>3</v>
      </c>
      <c r="B4" t="s">
        <v>6</v>
      </c>
      <c r="C4">
        <v>21</v>
      </c>
      <c r="D4">
        <f>C4/SUM(C2:C5)</f>
        <v>5.3708439897698211E-2</v>
      </c>
    </row>
    <row r="5" spans="1:4" x14ac:dyDescent="0.2">
      <c r="A5" t="s">
        <v>3</v>
      </c>
      <c r="B5" t="s">
        <v>7</v>
      </c>
      <c r="C5">
        <v>16</v>
      </c>
      <c r="D5">
        <f>C5/SUM(C2:C5)</f>
        <v>4.0920716112531973E-2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7AF2D-D88A-104B-8808-BDA8C399AF9E}">
  <dimension ref="A1:E2"/>
  <sheetViews>
    <sheetView tabSelected="1" workbookViewId="0">
      <selection activeCell="E3" sqref="E3"/>
    </sheetView>
  </sheetViews>
  <sheetFormatPr baseColWidth="10" defaultRowHeight="16" x14ac:dyDescent="0.2"/>
  <cols>
    <col min="4" max="4" width="14" bestFit="1" customWidth="1"/>
    <col min="5" max="5" width="13.33203125" bestFit="1" customWidth="1"/>
  </cols>
  <sheetData>
    <row r="1" spans="1:5" x14ac:dyDescent="0.2">
      <c r="A1" t="s">
        <v>2</v>
      </c>
      <c r="B1" t="s">
        <v>0</v>
      </c>
      <c r="C1" t="s">
        <v>1</v>
      </c>
      <c r="D1" t="s">
        <v>21</v>
      </c>
      <c r="E1" t="s">
        <v>9</v>
      </c>
    </row>
    <row r="2" spans="1:5" x14ac:dyDescent="0.2">
      <c r="A2" t="s">
        <v>20</v>
      </c>
      <c r="B2" t="s">
        <v>19</v>
      </c>
      <c r="C2">
        <v>4227</v>
      </c>
      <c r="D2">
        <v>307986515</v>
      </c>
      <c r="E2">
        <f>(C2/D2)*100000</f>
        <v>1.3724626872056394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56216-DAB7-0249-A42E-3B19085D2A67}">
  <dimension ref="A1:D5"/>
  <sheetViews>
    <sheetView workbookViewId="0">
      <selection activeCell="A6" sqref="A6"/>
    </sheetView>
  </sheetViews>
  <sheetFormatPr baseColWidth="10" defaultRowHeight="16" x14ac:dyDescent="0.2"/>
  <sheetData>
    <row r="1" spans="1:4" x14ac:dyDescent="0.2">
      <c r="A1" t="s">
        <v>2</v>
      </c>
      <c r="B1" t="s">
        <v>0</v>
      </c>
      <c r="C1" t="s">
        <v>1</v>
      </c>
      <c r="D1" t="s">
        <v>12</v>
      </c>
    </row>
    <row r="2" spans="1:4" x14ac:dyDescent="0.2">
      <c r="A2" t="s">
        <v>20</v>
      </c>
      <c r="B2" t="s">
        <v>4</v>
      </c>
      <c r="C2">
        <v>427</v>
      </c>
      <c r="D2">
        <f>C2/SUM(C2:C5)</f>
        <v>0.13769751693002258</v>
      </c>
    </row>
    <row r="3" spans="1:4" x14ac:dyDescent="0.2">
      <c r="A3" t="s">
        <v>20</v>
      </c>
      <c r="B3" t="s">
        <v>5</v>
      </c>
      <c r="C3">
        <v>858</v>
      </c>
      <c r="D3">
        <f>C3/SUM(C2:C5)</f>
        <v>0.27668494034182523</v>
      </c>
    </row>
    <row r="4" spans="1:4" x14ac:dyDescent="0.2">
      <c r="A4" t="s">
        <v>20</v>
      </c>
      <c r="B4" t="s">
        <v>6</v>
      </c>
      <c r="C4">
        <v>1454</v>
      </c>
      <c r="D4">
        <f>C4/SUM(C2:C5)</f>
        <v>0.4688810061270558</v>
      </c>
    </row>
    <row r="5" spans="1:4" x14ac:dyDescent="0.2">
      <c r="A5" t="s">
        <v>20</v>
      </c>
      <c r="B5" t="s">
        <v>7</v>
      </c>
      <c r="C5">
        <v>362</v>
      </c>
      <c r="D5">
        <f>C5/SUM(C2:C5)</f>
        <v>0.11673653660109642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7F29-C188-5740-AE28-F10FBE2B6092}">
  <dimension ref="A1:C5"/>
  <sheetViews>
    <sheetView workbookViewId="0">
      <selection activeCell="A6" sqref="A6"/>
    </sheetView>
  </sheetViews>
  <sheetFormatPr baseColWidth="10" defaultRowHeight="16" x14ac:dyDescent="0.2"/>
  <sheetData>
    <row r="1" spans="1:3" x14ac:dyDescent="0.2">
      <c r="A1" t="s">
        <v>11</v>
      </c>
      <c r="B1" t="s">
        <v>18</v>
      </c>
      <c r="C1" t="s">
        <v>22</v>
      </c>
    </row>
    <row r="2" spans="1:3" x14ac:dyDescent="0.2">
      <c r="A2" t="s">
        <v>13</v>
      </c>
      <c r="B2">
        <f>C2/SUM(C2:C5)</f>
        <v>0.59900638750887159</v>
      </c>
      <c r="C2">
        <v>2532</v>
      </c>
    </row>
    <row r="3" spans="1:3" x14ac:dyDescent="0.2">
      <c r="A3" t="s">
        <v>14</v>
      </c>
      <c r="B3">
        <f>C3/SUM(C2:C5)</f>
        <v>6.363851431275136E-2</v>
      </c>
      <c r="C3">
        <v>269</v>
      </c>
    </row>
    <row r="4" spans="1:3" x14ac:dyDescent="0.2">
      <c r="A4" t="s">
        <v>15</v>
      </c>
      <c r="B4">
        <f>C4/SUM(C2:C5)</f>
        <v>8.4930210551218355E-2</v>
      </c>
      <c r="C4">
        <v>359</v>
      </c>
    </row>
    <row r="5" spans="1:3" x14ac:dyDescent="0.2">
      <c r="A5" t="s">
        <v>16</v>
      </c>
      <c r="B5">
        <f>C5/SUM(C2:C5)</f>
        <v>0.25242488762715876</v>
      </c>
      <c r="C5">
        <v>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Dhaka_ageincidence</vt:lpstr>
      <vt:lpstr>Dhaka_yr_geno</vt:lpstr>
      <vt:lpstr>Dhaka_geno_mean</vt:lpstr>
      <vt:lpstr>Matlab_ageincidence</vt:lpstr>
      <vt:lpstr>Matlab_yr_geno</vt:lpstr>
      <vt:lpstr>Matlab_geno_mean</vt:lpstr>
      <vt:lpstr>Matlab_incidence</vt:lpstr>
      <vt:lpstr>Matlab_agedistribution</vt:lpstr>
      <vt:lpstr>UK_incidence</vt:lpstr>
      <vt:lpstr>UK_agedistribution</vt:lpstr>
      <vt:lpstr>UK_geno_mean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Kraay</dc:creator>
  <cp:lastModifiedBy>Alicia Kraay</cp:lastModifiedBy>
  <dcterms:created xsi:type="dcterms:W3CDTF">2024-08-15T13:48:20Z</dcterms:created>
  <dcterms:modified xsi:type="dcterms:W3CDTF">2025-10-27T14:39:17Z</dcterms:modified>
</cp:coreProperties>
</file>