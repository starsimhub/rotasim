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iakraay/PycharmProjects/rotasim/calibration/"/>
    </mc:Choice>
  </mc:AlternateContent>
  <xr:revisionPtr revIDLastSave="0" documentId="13_ncr:1_{2F1E304B-41FD-3B49-960E-D8F4AACEED4C}" xr6:coauthVersionLast="47" xr6:coauthVersionMax="47" xr10:uidLastSave="{00000000-0000-0000-0000-000000000000}"/>
  <bookViews>
    <workbookView xWindow="5260" yWindow="4660" windowWidth="26040" windowHeight="14940" activeTab="2" xr2:uid="{C5260B54-9666-D54D-BEE2-B441C4FA991D}"/>
  </bookViews>
  <sheets>
    <sheet name="Dhaka_ageincidence" sheetId="1" r:id="rId1"/>
    <sheet name="Dhaka_yr_geno" sheetId="2" r:id="rId2"/>
    <sheet name="Dhaka_geno_mean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  <c r="E5" i="1"/>
  <c r="B5" i="6"/>
  <c r="B4" i="6"/>
  <c r="B3" i="6"/>
  <c r="B2" i="6"/>
  <c r="E4" i="1"/>
  <c r="E2" i="1"/>
  <c r="E3" i="1"/>
</calcChain>
</file>

<file path=xl/sharedStrings.xml><?xml version="1.0" encoding="utf-8"?>
<sst xmlns="http://schemas.openxmlformats.org/spreadsheetml/2006/main" count="52" uniqueCount="20">
  <si>
    <t>Age</t>
  </si>
  <si>
    <t>Cases</t>
  </si>
  <si>
    <t>Years</t>
  </si>
  <si>
    <t>[0, 1)</t>
  </si>
  <si>
    <t>[1, 2)</t>
  </si>
  <si>
    <t>[2, 5)</t>
  </si>
  <si>
    <t>[5, 125)</t>
  </si>
  <si>
    <t>Population</t>
  </si>
  <si>
    <t>Cases per 100k</t>
  </si>
  <si>
    <t>Year</t>
  </si>
  <si>
    <t>Genotype</t>
  </si>
  <si>
    <t>Proportion</t>
  </si>
  <si>
    <t>G1P8</t>
  </si>
  <si>
    <t>G2P4</t>
  </si>
  <si>
    <t>G9P8</t>
  </si>
  <si>
    <t>Other</t>
  </si>
  <si>
    <t>Count</t>
  </si>
  <si>
    <t>ref_prop_wt</t>
  </si>
  <si>
    <t>ref_prop_avg</t>
  </si>
  <si>
    <t>[2001, 2007]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</si>
</sst>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24D2-B6F0-EE40-A18D-43C5B5E5D0E0}">
  <dimension ref="A1:E5"/>
  <sheetViews>
    <sheetView workbookViewId="0">
      <selection activeCell="A6" sqref="A6"/>
    </sheetView>
  </sheetViews>
  <sheetFormatPr baseColWidth="10" defaultRowHeight="16" x14ac:dyDescent="0.2"/>
  <cols>
    <col min="5" max="5" width="13.33203125" bestFit="1" customWidth="1"/>
  </cols>
  <sheetData>
    <row r="1" spans="1:5" x14ac:dyDescent="0.2">
      <c r="A1" t="s">
        <v>2</v>
      </c>
      <c r="B1" t="s">
        <v>0</v>
      </c>
      <c r="C1" t="s">
        <v>1</v>
      </c>
      <c r="D1" t="s">
        <v>7</v>
      </c>
      <c r="E1" t="s">
        <v>8</v>
      </c>
    </row>
    <row r="2" spans="1:5" x14ac:dyDescent="0.2">
      <c r="A2" t="s">
        <v>19</v>
      </c>
      <c r="B2" t="s">
        <v>3</v>
      </c>
      <c r="C2">
        <v>219</v>
      </c>
      <c r="D2">
        <f>11734864*0.026</f>
        <v>305106.46399999998</v>
      </c>
      <c r="E2">
        <f>(C2/(D2*8))*100000</f>
        <v>8.9722779521314902</v>
      </c>
    </row>
    <row r="3" spans="1:5" x14ac:dyDescent="0.2">
      <c r="A3" t="s">
        <v>19</v>
      </c>
      <c r="B3" t="s">
        <v>4</v>
      </c>
      <c r="C3">
        <v>164</v>
      </c>
      <c r="D3">
        <f>11734864*0.026</f>
        <v>305106.46399999998</v>
      </c>
      <c r="E3">
        <f t="shared" ref="E3:E5" si="0">(C3/(D3*8))*100000</f>
        <v>6.718966137669244</v>
      </c>
    </row>
    <row r="4" spans="1:5" x14ac:dyDescent="0.2">
      <c r="A4" t="s">
        <v>19</v>
      </c>
      <c r="B4" t="s">
        <v>5</v>
      </c>
      <c r="C4">
        <v>23</v>
      </c>
      <c r="D4">
        <f>11734864*0.079</f>
        <v>927054.25600000005</v>
      </c>
      <c r="E4">
        <f t="shared" si="0"/>
        <v>0.31012208631724353</v>
      </c>
    </row>
    <row r="5" spans="1:5" x14ac:dyDescent="0.2">
      <c r="A5" t="s">
        <v>19</v>
      </c>
      <c r="B5" t="s">
        <v>6</v>
      </c>
      <c r="C5">
        <v>69</v>
      </c>
      <c r="D5">
        <f>11734864*0.869</f>
        <v>10197596.816</v>
      </c>
      <c r="E5">
        <f t="shared" si="0"/>
        <v>8.4578750813793707E-2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B8B4-6F72-DC4D-9E2E-0C981A30C433}">
  <dimension ref="A1:D29"/>
  <sheetViews>
    <sheetView workbookViewId="0">
      <selection activeCell="D9" sqref="D9"/>
    </sheetView>
  </sheetViews>
  <sheetFormatPr baseColWidth="10" defaultRowHeight="16" x14ac:dyDescent="0.2"/>
  <cols>
    <col min="6" max="6" width="13.33203125" bestFit="1" customWidth="1"/>
  </cols>
  <sheetData>
    <row r="1" spans="1:4" x14ac:dyDescent="0.2">
      <c r="A1" t="s">
        <v>9</v>
      </c>
      <c r="B1" t="s">
        <v>10</v>
      </c>
      <c r="C1" t="s">
        <v>16</v>
      </c>
      <c r="D1" t="s">
        <v>11</v>
      </c>
    </row>
    <row r="2" spans="1:4" x14ac:dyDescent="0.2">
      <c r="A2">
        <v>2001</v>
      </c>
      <c r="B2" t="s">
        <v>12</v>
      </c>
      <c r="C2">
        <v>8</v>
      </c>
      <c r="D2">
        <v>0.170212765957447</v>
      </c>
    </row>
    <row r="3" spans="1:4" x14ac:dyDescent="0.2">
      <c r="A3">
        <v>2001</v>
      </c>
      <c r="B3" t="s">
        <v>13</v>
      </c>
      <c r="C3">
        <v>10</v>
      </c>
      <c r="D3">
        <v>0.21276595744680901</v>
      </c>
    </row>
    <row r="4" spans="1:4" x14ac:dyDescent="0.2">
      <c r="A4">
        <v>2001</v>
      </c>
      <c r="B4" t="s">
        <v>14</v>
      </c>
      <c r="C4">
        <v>18</v>
      </c>
      <c r="D4">
        <v>0.38297872340425498</v>
      </c>
    </row>
    <row r="5" spans="1:4" x14ac:dyDescent="0.2">
      <c r="A5">
        <v>2001</v>
      </c>
      <c r="B5" t="s">
        <v>15</v>
      </c>
      <c r="C5">
        <v>11</v>
      </c>
      <c r="D5">
        <v>0.23404255319148901</v>
      </c>
    </row>
    <row r="6" spans="1:4" x14ac:dyDescent="0.2">
      <c r="A6">
        <v>2002</v>
      </c>
      <c r="B6" t="s">
        <v>12</v>
      </c>
      <c r="C6">
        <v>27</v>
      </c>
      <c r="D6">
        <v>0.45</v>
      </c>
    </row>
    <row r="7" spans="1:4" x14ac:dyDescent="0.2">
      <c r="A7">
        <v>2002</v>
      </c>
      <c r="B7" t="s">
        <v>13</v>
      </c>
      <c r="C7">
        <v>9</v>
      </c>
      <c r="D7">
        <v>0.15</v>
      </c>
    </row>
    <row r="8" spans="1:4" x14ac:dyDescent="0.2">
      <c r="A8">
        <v>2002</v>
      </c>
      <c r="B8" t="s">
        <v>14</v>
      </c>
      <c r="C8">
        <v>15</v>
      </c>
      <c r="D8">
        <v>0.25</v>
      </c>
    </row>
    <row r="9" spans="1:4" x14ac:dyDescent="0.2">
      <c r="A9">
        <v>2002</v>
      </c>
      <c r="B9" t="s">
        <v>15</v>
      </c>
      <c r="C9">
        <v>9</v>
      </c>
      <c r="D9">
        <v>0.15</v>
      </c>
    </row>
    <row r="10" spans="1:4" x14ac:dyDescent="0.2">
      <c r="A10">
        <v>2003</v>
      </c>
      <c r="B10" t="s">
        <v>12</v>
      </c>
      <c r="C10">
        <v>19</v>
      </c>
      <c r="D10">
        <v>0.422222222222222</v>
      </c>
    </row>
    <row r="11" spans="1:4" x14ac:dyDescent="0.2">
      <c r="A11">
        <v>2003</v>
      </c>
      <c r="B11" t="s">
        <v>13</v>
      </c>
      <c r="C11">
        <v>8</v>
      </c>
      <c r="D11">
        <v>0.17777777777777801</v>
      </c>
    </row>
    <row r="12" spans="1:4" x14ac:dyDescent="0.2">
      <c r="A12">
        <v>2003</v>
      </c>
      <c r="B12" t="s">
        <v>14</v>
      </c>
      <c r="C12">
        <v>9</v>
      </c>
      <c r="D12">
        <v>0.2</v>
      </c>
    </row>
    <row r="13" spans="1:4" x14ac:dyDescent="0.2">
      <c r="A13">
        <v>2003</v>
      </c>
      <c r="B13" t="s">
        <v>15</v>
      </c>
      <c r="C13">
        <v>9</v>
      </c>
      <c r="D13">
        <v>0.2</v>
      </c>
    </row>
    <row r="14" spans="1:4" x14ac:dyDescent="0.2">
      <c r="A14">
        <v>2004</v>
      </c>
      <c r="B14" t="s">
        <v>12</v>
      </c>
      <c r="C14">
        <v>10</v>
      </c>
      <c r="D14">
        <v>0.217391304347826</v>
      </c>
    </row>
    <row r="15" spans="1:4" x14ac:dyDescent="0.2">
      <c r="A15">
        <v>2004</v>
      </c>
      <c r="B15" t="s">
        <v>13</v>
      </c>
      <c r="C15">
        <v>4</v>
      </c>
      <c r="D15">
        <v>8.6956521739130405E-2</v>
      </c>
    </row>
    <row r="16" spans="1:4" x14ac:dyDescent="0.2">
      <c r="A16">
        <v>2004</v>
      </c>
      <c r="B16" t="s">
        <v>14</v>
      </c>
      <c r="C16">
        <v>14</v>
      </c>
      <c r="D16">
        <v>0.30434782608695699</v>
      </c>
    </row>
    <row r="17" spans="1:4" x14ac:dyDescent="0.2">
      <c r="A17">
        <v>2004</v>
      </c>
      <c r="B17" t="s">
        <v>15</v>
      </c>
      <c r="C17">
        <v>18</v>
      </c>
      <c r="D17">
        <v>0.39130434782608697</v>
      </c>
    </row>
    <row r="18" spans="1:4" x14ac:dyDescent="0.2">
      <c r="A18">
        <v>2005</v>
      </c>
      <c r="B18" t="s">
        <v>12</v>
      </c>
      <c r="C18">
        <v>17</v>
      </c>
      <c r="D18">
        <v>0.34693877551020402</v>
      </c>
    </row>
    <row r="19" spans="1:4" x14ac:dyDescent="0.2">
      <c r="A19">
        <v>2005</v>
      </c>
      <c r="B19" t="s">
        <v>13</v>
      </c>
      <c r="C19">
        <v>12</v>
      </c>
      <c r="D19">
        <v>0.24489795918367299</v>
      </c>
    </row>
    <row r="20" spans="1:4" x14ac:dyDescent="0.2">
      <c r="A20">
        <v>2005</v>
      </c>
      <c r="B20" t="s">
        <v>14</v>
      </c>
      <c r="C20">
        <v>10</v>
      </c>
      <c r="D20">
        <v>0.20408163265306101</v>
      </c>
    </row>
    <row r="21" spans="1:4" x14ac:dyDescent="0.2">
      <c r="A21">
        <v>2005</v>
      </c>
      <c r="B21" t="s">
        <v>15</v>
      </c>
      <c r="C21">
        <v>10</v>
      </c>
      <c r="D21">
        <v>0.20408163265306101</v>
      </c>
    </row>
    <row r="22" spans="1:4" x14ac:dyDescent="0.2">
      <c r="A22">
        <v>2006</v>
      </c>
      <c r="B22" t="s">
        <v>12</v>
      </c>
      <c r="C22">
        <v>7</v>
      </c>
      <c r="D22">
        <v>0.14285714285714299</v>
      </c>
    </row>
    <row r="23" spans="1:4" x14ac:dyDescent="0.2">
      <c r="A23">
        <v>2006</v>
      </c>
      <c r="B23" t="s">
        <v>13</v>
      </c>
      <c r="C23">
        <v>23</v>
      </c>
      <c r="D23">
        <v>0.469387755102041</v>
      </c>
    </row>
    <row r="24" spans="1:4" x14ac:dyDescent="0.2">
      <c r="A24">
        <v>2006</v>
      </c>
      <c r="B24" t="s">
        <v>14</v>
      </c>
      <c r="C24">
        <v>6</v>
      </c>
      <c r="D24">
        <v>0.122448979591837</v>
      </c>
    </row>
    <row r="25" spans="1:4" x14ac:dyDescent="0.2">
      <c r="A25">
        <v>2006</v>
      </c>
      <c r="B25" t="s">
        <v>15</v>
      </c>
      <c r="C25">
        <v>13</v>
      </c>
      <c r="D25">
        <v>0.26530612244898</v>
      </c>
    </row>
    <row r="26" spans="1:4" x14ac:dyDescent="0.2">
      <c r="A26">
        <v>2007</v>
      </c>
      <c r="B26" t="s">
        <v>12</v>
      </c>
      <c r="C26">
        <v>17</v>
      </c>
      <c r="D26">
        <v>0.34</v>
      </c>
    </row>
    <row r="27" spans="1:4" x14ac:dyDescent="0.2">
      <c r="A27">
        <v>2007</v>
      </c>
      <c r="B27" t="s">
        <v>13</v>
      </c>
      <c r="C27">
        <v>14</v>
      </c>
      <c r="D27">
        <v>0.28000000000000003</v>
      </c>
    </row>
    <row r="28" spans="1:4" x14ac:dyDescent="0.2">
      <c r="A28">
        <v>2007</v>
      </c>
      <c r="B28" t="s">
        <v>14</v>
      </c>
      <c r="C28">
        <v>11</v>
      </c>
      <c r="D28">
        <v>0.22</v>
      </c>
    </row>
    <row r="29" spans="1:4" x14ac:dyDescent="0.2">
      <c r="A29">
        <v>2007</v>
      </c>
      <c r="B29" t="s">
        <v>15</v>
      </c>
      <c r="C29">
        <v>8</v>
      </c>
      <c r="D29">
        <v>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FE97-8BEA-0B48-85AC-591DFCC80A8E}">
  <dimension ref="A1:C5"/>
  <sheetViews>
    <sheetView tabSelected="1" workbookViewId="0">
      <selection activeCell="B2" sqref="B2"/>
    </sheetView>
  </sheetViews>
  <sheetFormatPr baseColWidth="10" defaultRowHeight="16" x14ac:dyDescent="0.2"/>
  <sheetData>
    <row r="1" spans="1:3" x14ac:dyDescent="0.2">
      <c r="A1" t="s">
        <v>10</v>
      </c>
      <c r="B1" t="s">
        <v>18</v>
      </c>
      <c r="C1" t="s">
        <v>17</v>
      </c>
    </row>
    <row r="2" spans="1:3" x14ac:dyDescent="0.2">
      <c r="A2" t="s">
        <v>12</v>
      </c>
      <c r="B2">
        <f>SUM(Dhaka_yr_geno!D2,Dhaka_yr_geno!D6,Dhaka_yr_geno!D10,Dhaka_yr_geno!D14,Dhaka_yr_geno!D18,Dhaka_yr_geno!D22)/7</f>
        <v>0.24994603012783459</v>
      </c>
      <c r="C2">
        <v>0.32100000000000001</v>
      </c>
    </row>
    <row r="3" spans="1:3" x14ac:dyDescent="0.2">
      <c r="A3" t="s">
        <v>13</v>
      </c>
      <c r="B3">
        <f>SUM(Dhaka_yr_geno!D3,Dhaka_yr_geno!D7,Dhaka_yr_geno!D11,Dhaka_yr_geno!D15,Dhaka_yr_geno!D19,Dhaka_yr_geno!D23,Dhaka_yr_geno!D27)/7</f>
        <v>0.23168371017849018</v>
      </c>
      <c r="C3">
        <v>0.215</v>
      </c>
    </row>
    <row r="4" spans="1:3" x14ac:dyDescent="0.2">
      <c r="A4" t="s">
        <v>14</v>
      </c>
      <c r="B4">
        <f>SUM(Dhaka_yr_geno!D4,Dhaka_yr_geno!D8,Dhaka_yr_geno!D12,Dhaka_yr_geno!D16,Dhaka_yr_geno!D20,Dhaka_yr_geno!D24,Dhaka_yr_geno!D28)/7</f>
        <v>0.24055102310515858</v>
      </c>
      <c r="C4">
        <v>0.251</v>
      </c>
    </row>
    <row r="5" spans="1:3" x14ac:dyDescent="0.2">
      <c r="A5" t="s">
        <v>15</v>
      </c>
      <c r="B5">
        <f>SUM(Dhaka_yr_geno!D5,Dhaka_yr_geno!D9,Dhaka_yr_geno!D13,Dhaka_yr_geno!D17,Dhaka_yr_geno!D21,Dhaka_yr_geno!D25,Dhaka_yr_geno!D29)/7</f>
        <v>0.22924780801708811</v>
      </c>
      <c r="C5">
        <v>0.21299999999999999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Dhaka_ageincidence</vt:lpstr>
      <vt:lpstr>Dhaka_yr_geno</vt:lpstr>
      <vt:lpstr>Dhaka_geno_mean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Kraay</dc:creator>
  <cp:lastModifiedBy>Alicia Kraay</cp:lastModifiedBy>
  <dcterms:created xsi:type="dcterms:W3CDTF">2024-08-15T13:48:20Z</dcterms:created>
  <dcterms:modified xsi:type="dcterms:W3CDTF">2025-10-23T14:24:35Z</dcterms:modified>
</cp:coreProperties>
</file>